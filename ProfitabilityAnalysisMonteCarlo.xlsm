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eyk\Downloads\Monte Carlo Simulation Project\"/>
    </mc:Choice>
  </mc:AlternateContent>
  <xr:revisionPtr revIDLastSave="0" documentId="13_ncr:1_{43DEEB03-4D77-4B1B-A6BD-6AADFFA65A2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Histogram" sheetId="52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<sst xmlns="http://schemas.openxmlformats.org/spreadsheetml/2006/main" count="30" uniqueCount="25">
  <si>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</si>
  <si>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</si>
  <si>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</si>
  <si>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</si>
  <si>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</si>
  <si>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</si>
  <si>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</si>
  <si>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</si>
  <si>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</si>
  <si>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</si>
  <si>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</si>
  <si>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</si>
  <si>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</si>
  <si>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</si>
  <si>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</si>
  <si>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</si>
  <si>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</si>
  <si>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</si>
  <si>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</si>
  <si>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</si>
  <si>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</si>
  <si>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</si>
  <si>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</si>
  <si>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-20.0</t>
  </si>
  <si>
    <t>0.40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</si>
</sst>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-59.5</c:v>
                </c:pt>
                <c:pt idx="1">
                  <c:v>-52.5</c:v>
                </c:pt>
                <c:pt idx="2">
                  <c:v>-45.5</c:v>
                </c:pt>
                <c:pt idx="3">
                  <c:v>-38.5</c:v>
                </c:pt>
                <c:pt idx="4">
                  <c:v>-31.5</c:v>
                </c:pt>
                <c:pt idx="5">
                  <c:v>-24.5</c:v>
                </c:pt>
                <c:pt idx="6">
                  <c:v>-17.5</c:v>
                </c:pt>
                <c:pt idx="7">
                  <c:v>-10.5</c:v>
                </c:pt>
                <c:pt idx="8">
                  <c:v>-3.5</c:v>
                </c:pt>
                <c:pt idx="9">
                  <c:v>3.5</c:v>
                </c:pt>
                <c:pt idx="10">
                  <c:v>10.5</c:v>
                </c:pt>
                <c:pt idx="11">
                  <c:v>17.5</c:v>
                </c:pt>
                <c:pt idx="12">
                  <c:v>24.5</c:v>
                </c:pt>
                <c:pt idx="13">
                  <c:v>31.5</c:v>
                </c:pt>
                <c:pt idx="14">
                  <c:v>38.5</c:v>
                </c:pt>
                <c:pt idx="15">
                  <c:v>45.5</c:v>
                </c:pt>
                <c:pt idx="16">
                  <c:v>52.5</c:v>
                </c:pt>
                <c:pt idx="17">
                  <c:v>59.5</c:v>
                </c:pt>
                <c:pt idx="18">
                  <c:v>66.5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9</c:v>
                </c:pt>
                <c:pt idx="1">
                  <c:v>22</c:v>
                </c:pt>
                <c:pt idx="2">
                  <c:v>41</c:v>
                </c:pt>
                <c:pt idx="3">
                  <c:v>48</c:v>
                </c:pt>
                <c:pt idx="4">
                  <c:v>70</c:v>
                </c:pt>
                <c:pt idx="5">
                  <c:v>98</c:v>
                </c:pt>
                <c:pt idx="6">
                  <c:v>97</c:v>
                </c:pt>
                <c:pt idx="7">
                  <c:v>118</c:v>
                </c:pt>
                <c:pt idx="8">
                  <c:v>116</c:v>
                </c:pt>
                <c:pt idx="9">
                  <c:v>90</c:v>
                </c:pt>
                <c:pt idx="10">
                  <c:v>107</c:v>
                </c:pt>
                <c:pt idx="11">
                  <c:v>59</c:v>
                </c:pt>
                <c:pt idx="12">
                  <c:v>46</c:v>
                </c:pt>
                <c:pt idx="13">
                  <c:v>32</c:v>
                </c:pt>
                <c:pt idx="14">
                  <c:v>24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C-48E4-B2C8-468921713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395791"/>
        <c:axId val="276381647"/>
      </c:barChart>
      <c:catAx>
        <c:axId val="2763957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381647"/>
        <c:crosses val="autoZero"/>
        <c:auto val="1"/>
        <c:lblAlgn val="ctr"/>
        <c:lblOffset val="100"/>
        <c:noMultiLvlLbl val="0"/>
      </c:catAx>
      <c:valAx>
        <c:axId val="27638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395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2EA827F-E229-41B6-B0ED-70F28694D45B}">
  <sheetPr codeName="Chart2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4D8128-AFF9-4DE3-946F-3EA62778B5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O3" sqref="O3:O4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5" t="s">
        <v>23</v>
      </c>
      <c r="D3" t="s">
        <v>2</v>
      </c>
      <c r="E3" s="15">
        <v>44.903878649866407</v>
      </c>
      <c r="G3" t="s">
        <v>3</v>
      </c>
      <c r="H3" s="5">
        <v>-8.1859375497887559</v>
      </c>
    </row>
    <row r="4" spans="1:16" ht="15" thickBot="1" x14ac:dyDescent="0.35">
      <c r="A4" t="s">
        <v>4</v>
      </c>
      <c r="B4" s="6">
        <v>-14.883327481794419</v>
      </c>
      <c r="D4" t="s">
        <v>5</v>
      </c>
      <c r="E4" s="7" t="s">
        <v>24</v>
      </c>
      <c r="G4" t="s">
        <v>6</v>
      </c>
      <c r="H4" s="8">
        <v>0.14493012428283691</v>
      </c>
    </row>
    <row r="5" spans="1:16" x14ac:dyDescent="0.3">
      <c r="A5" t="s">
        <v>7</v>
      </c>
      <c r="B5" s="9">
        <v>-46.474984766779947</v>
      </c>
      <c r="H5" s="10"/>
    </row>
    <row r="6" spans="1:16" x14ac:dyDescent="0.3">
      <c r="A6" t="s">
        <v>8</v>
      </c>
      <c r="B6" s="9">
        <v>-18.691915810108185</v>
      </c>
      <c r="E6" t="s">
        <v>9</v>
      </c>
      <c r="H6" s="10"/>
    </row>
    <row r="7" spans="1:16" ht="15" thickBot="1" x14ac:dyDescent="0.35">
      <c r="A7" t="s">
        <v>10</v>
      </c>
      <c r="B7" s="14">
        <v>-10.254655190664119</v>
      </c>
      <c r="E7" t="s">
        <v>11</v>
      </c>
      <c r="H7" s="10"/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11">
        <f>0.5*CTDC</f>
        <v>-23.237492383389974</v>
      </c>
      <c r="C10" s="11"/>
      <c r="D10" s="11" t="str">
        <f>Cland</f>
        <v>-20.0</v>
      </c>
      <c r="E10" s="11"/>
      <c r="F10" s="11"/>
      <c r="G10" s="11"/>
      <c r="H10" s="11"/>
      <c r="I10" s="11"/>
      <c r="J10" s="11"/>
      <c r="L10">
        <f>B10+D10</f>
        <v>-43.237492383389977</v>
      </c>
      <c r="M10" s="11">
        <f t="shared" ref="M10:M24" si="0">L10/(1+i)^(A10-1)</f>
        <v>-43.237492383389977</v>
      </c>
      <c r="N10" s="11">
        <f>M10</f>
        <v>-43.237492383389977</v>
      </c>
    </row>
    <row r="11" spans="1:16" x14ac:dyDescent="0.3">
      <c r="A11">
        <v>2</v>
      </c>
      <c r="B11" s="11">
        <f>0.5*CTDC</f>
        <v>-23.237492383389974</v>
      </c>
      <c r="C11" s="11">
        <f>WC</f>
        <v>-18.691915810108185</v>
      </c>
      <c r="D11" s="11"/>
      <c r="E11" s="11"/>
      <c r="F11" s="11">
        <f>Cstart</f>
        <v>-10.254655190664119</v>
      </c>
      <c r="G11" s="11"/>
      <c r="H11" s="11"/>
      <c r="I11" s="11"/>
      <c r="J11" s="11"/>
      <c r="L11">
        <f>B11+C11+F11</f>
        <v>-52.184063384162279</v>
      </c>
      <c r="M11" s="11">
        <f t="shared" si="0"/>
        <v>-45.578382712961989</v>
      </c>
      <c r="N11" s="11">
        <f>N10+M11</f>
        <v>-88.815875096351959</v>
      </c>
    </row>
    <row r="12" spans="1:16" x14ac:dyDescent="0.3">
      <c r="A12">
        <v>3</v>
      </c>
      <c r="B12" s="11"/>
      <c r="C12" s="11"/>
      <c r="D12" s="11"/>
      <c r="E12" s="11">
        <f t="shared" ref="E12:E24" si="1">Croyal</f>
        <v>-14.883327481794419</v>
      </c>
      <c r="F12" s="11"/>
      <c r="G12" s="11"/>
      <c r="H12" s="11">
        <f>P12*-CTDC</f>
        <v>6.6412753231728541</v>
      </c>
      <c r="I12" s="11">
        <f>0.5*S</f>
        <v>22.451939324933203</v>
      </c>
      <c r="J12" s="11">
        <f>0.5*COS</f>
        <v>-4.0929687748943779</v>
      </c>
      <c r="K12" s="11">
        <f>(1-tax)*(I12-J12-H12)</f>
        <v>11.942179665992834</v>
      </c>
      <c r="L12" s="11">
        <f t="shared" ref="L12:L23" si="2">K12+H12+E12</f>
        <v>3.7001275073712687</v>
      </c>
      <c r="M12" s="11">
        <f t="shared" si="0"/>
        <v>2.8226610192785331</v>
      </c>
      <c r="N12" s="11">
        <f t="shared" ref="N12:N23" si="3">N11+M12</f>
        <v>-85.993214077073432</v>
      </c>
      <c r="P12" s="12">
        <v>0.1429</v>
      </c>
    </row>
    <row r="13" spans="1:16" x14ac:dyDescent="0.3">
      <c r="A13">
        <v>4</v>
      </c>
      <c r="B13" s="11"/>
      <c r="C13" s="11"/>
      <c r="D13" s="11"/>
      <c r="E13" s="11">
        <f t="shared" si="1"/>
        <v>-14.883327481794419</v>
      </c>
      <c r="F13" s="11"/>
      <c r="G13" s="11"/>
      <c r="H13" s="11">
        <f t="shared" ref="H13:H19" si="4">P13*-CTDC</f>
        <v>11.38172376938441</v>
      </c>
      <c r="I13" s="11">
        <f>0.8*S</f>
        <v>35.923102919893125</v>
      </c>
      <c r="J13" s="11">
        <f>0.8*COS</f>
        <v>-6.5487500398310052</v>
      </c>
      <c r="K13" s="11">
        <f t="shared" ref="K13:K24" si="5">(1-tax)*(I13-J13-H13)</f>
        <v>18.654077514203834</v>
      </c>
      <c r="L13" s="11">
        <f t="shared" si="2"/>
        <v>15.152473801793823</v>
      </c>
      <c r="M13" s="11">
        <f t="shared" si="0"/>
        <v>10.095936144247839</v>
      </c>
      <c r="N13" s="11">
        <f t="shared" si="3"/>
        <v>-75.897277932825588</v>
      </c>
      <c r="P13" s="12">
        <v>0.24490000000000001</v>
      </c>
    </row>
    <row r="14" spans="1:16" x14ac:dyDescent="0.3">
      <c r="A14">
        <v>5</v>
      </c>
      <c r="B14" s="11"/>
      <c r="C14" s="11"/>
      <c r="D14" s="11"/>
      <c r="E14" s="11">
        <f t="shared" si="1"/>
        <v>-14.883327481794419</v>
      </c>
      <c r="F14" s="11"/>
      <c r="G14" s="11"/>
      <c r="H14" s="11">
        <f t="shared" si="4"/>
        <v>8.1284748357098131</v>
      </c>
      <c r="I14" s="11">
        <f t="shared" ref="I14:I24" si="6">S</f>
        <v>44.903878649866407</v>
      </c>
      <c r="J14" s="11">
        <f t="shared" ref="J14:J24" si="7">COS</f>
        <v>-8.1859375497887559</v>
      </c>
      <c r="K14" s="11">
        <f t="shared" si="5"/>
        <v>26.97680481836721</v>
      </c>
      <c r="L14" s="11">
        <f t="shared" si="2"/>
        <v>20.221952172282606</v>
      </c>
      <c r="M14" s="11">
        <f t="shared" si="0"/>
        <v>11.768121669595972</v>
      </c>
      <c r="N14" s="11">
        <f t="shared" si="3"/>
        <v>-64.129156263229618</v>
      </c>
      <c r="P14" s="12">
        <v>0.1749</v>
      </c>
    </row>
    <row r="15" spans="1:16" x14ac:dyDescent="0.3">
      <c r="A15">
        <v>6</v>
      </c>
      <c r="B15" s="11"/>
      <c r="C15" s="11"/>
      <c r="D15" s="11"/>
      <c r="E15" s="11">
        <f t="shared" si="1"/>
        <v>-14.883327481794419</v>
      </c>
      <c r="F15" s="11"/>
      <c r="G15" s="11"/>
      <c r="H15" s="11">
        <f t="shared" si="4"/>
        <v>5.8047255973708154</v>
      </c>
      <c r="I15" s="11">
        <f t="shared" si="6"/>
        <v>44.903878649866407</v>
      </c>
      <c r="J15" s="11">
        <f t="shared" si="7"/>
        <v>-8.1859375497887559</v>
      </c>
      <c r="K15" s="11">
        <f t="shared" si="5"/>
        <v>28.371054361370604</v>
      </c>
      <c r="L15" s="11">
        <f t="shared" si="2"/>
        <v>19.292452476946998</v>
      </c>
      <c r="M15" s="11">
        <f t="shared" si="0"/>
        <v>9.806014427010517</v>
      </c>
      <c r="N15" s="11">
        <f t="shared" si="3"/>
        <v>-54.323141836219101</v>
      </c>
      <c r="P15" s="12">
        <v>0.1249</v>
      </c>
    </row>
    <row r="16" spans="1:16" x14ac:dyDescent="0.3">
      <c r="A16">
        <v>7</v>
      </c>
      <c r="B16" s="11"/>
      <c r="C16" s="11"/>
      <c r="D16" s="11"/>
      <c r="E16" s="11">
        <f t="shared" si="1"/>
        <v>-14.883327481794419</v>
      </c>
      <c r="F16" s="11"/>
      <c r="G16" s="11"/>
      <c r="H16" s="11">
        <f t="shared" si="4"/>
        <v>4.1502161396734492</v>
      </c>
      <c r="I16" s="11">
        <f t="shared" si="6"/>
        <v>44.903878649866407</v>
      </c>
      <c r="J16" s="11">
        <f t="shared" si="7"/>
        <v>-8.1859375497887559</v>
      </c>
      <c r="K16" s="11">
        <f t="shared" si="5"/>
        <v>29.363760035989028</v>
      </c>
      <c r="L16" s="11">
        <f t="shared" si="2"/>
        <v>18.630648693868061</v>
      </c>
      <c r="M16" s="11">
        <f t="shared" si="0"/>
        <v>8.2709250092527498</v>
      </c>
      <c r="N16" s="11">
        <f t="shared" si="3"/>
        <v>-46.052216826966351</v>
      </c>
      <c r="P16" s="12">
        <v>8.9300000000000004E-2</v>
      </c>
    </row>
    <row r="17" spans="1:16" x14ac:dyDescent="0.3">
      <c r="A17">
        <v>8</v>
      </c>
      <c r="B17" s="11"/>
      <c r="C17" s="11"/>
      <c r="D17" s="11"/>
      <c r="E17" s="11">
        <f t="shared" si="1"/>
        <v>-14.883327481794419</v>
      </c>
      <c r="F17" s="11"/>
      <c r="G17" s="11"/>
      <c r="H17" s="11">
        <f t="shared" si="4"/>
        <v>4.1455686411967712</v>
      </c>
      <c r="I17" s="11">
        <f t="shared" si="6"/>
        <v>44.903878649866407</v>
      </c>
      <c r="J17" s="11">
        <f t="shared" si="7"/>
        <v>-8.1859375497887559</v>
      </c>
      <c r="K17" s="11">
        <f t="shared" si="5"/>
        <v>29.366548535075029</v>
      </c>
      <c r="L17" s="11">
        <f t="shared" si="2"/>
        <v>18.628789694477383</v>
      </c>
      <c r="M17" s="11">
        <f t="shared" si="0"/>
        <v>7.2232353278050754</v>
      </c>
      <c r="N17" s="11">
        <f t="shared" si="3"/>
        <v>-38.828981499161273</v>
      </c>
      <c r="P17" s="12">
        <v>8.9200000000000002E-2</v>
      </c>
    </row>
    <row r="18" spans="1:16" x14ac:dyDescent="0.3">
      <c r="A18">
        <v>9</v>
      </c>
      <c r="B18" s="11"/>
      <c r="C18" s="11"/>
      <c r="D18" s="11"/>
      <c r="E18" s="11">
        <f t="shared" si="1"/>
        <v>-14.883327481794419</v>
      </c>
      <c r="F18" s="11"/>
      <c r="G18" s="11"/>
      <c r="H18" s="11">
        <f t="shared" si="4"/>
        <v>4.1502161396734492</v>
      </c>
      <c r="I18" s="11">
        <f t="shared" si="6"/>
        <v>44.903878649866407</v>
      </c>
      <c r="J18" s="11">
        <f t="shared" si="7"/>
        <v>-8.1859375497887559</v>
      </c>
      <c r="K18" s="11">
        <f t="shared" si="5"/>
        <v>29.363760035989028</v>
      </c>
      <c r="L18" s="11">
        <f t="shared" si="2"/>
        <v>18.630648693868061</v>
      </c>
      <c r="M18" s="11">
        <f t="shared" si="0"/>
        <v>6.309517055962135</v>
      </c>
      <c r="N18" s="11">
        <f t="shared" si="3"/>
        <v>-32.519464443199141</v>
      </c>
      <c r="P18" s="12">
        <v>8.9300000000000004E-2</v>
      </c>
    </row>
    <row r="19" spans="1:16" x14ac:dyDescent="0.3">
      <c r="A19">
        <v>10</v>
      </c>
      <c r="B19" s="11"/>
      <c r="C19" s="11"/>
      <c r="D19" s="11"/>
      <c r="E19" s="11">
        <f t="shared" si="1"/>
        <v>-14.883327481794419</v>
      </c>
      <c r="F19" s="11"/>
      <c r="G19" s="11"/>
      <c r="H19" s="11">
        <f t="shared" si="4"/>
        <v>2.0727843205983856</v>
      </c>
      <c r="I19" s="11">
        <f t="shared" si="6"/>
        <v>44.903878649866407</v>
      </c>
      <c r="J19" s="11">
        <f t="shared" si="7"/>
        <v>-8.1859375497887559</v>
      </c>
      <c r="K19" s="11">
        <f t="shared" si="5"/>
        <v>30.610219127434064</v>
      </c>
      <c r="L19" s="11">
        <f t="shared" si="2"/>
        <v>17.799675966238034</v>
      </c>
      <c r="M19" s="11">
        <f t="shared" si="0"/>
        <v>5.2650349204995015</v>
      </c>
      <c r="N19" s="11">
        <f t="shared" si="3"/>
        <v>-27.254429522699638</v>
      </c>
      <c r="P19" s="12">
        <v>4.4600000000000001E-2</v>
      </c>
    </row>
    <row r="20" spans="1:16" x14ac:dyDescent="0.3">
      <c r="A20">
        <v>11</v>
      </c>
      <c r="B20" s="11"/>
      <c r="C20" s="11"/>
      <c r="D20" s="11"/>
      <c r="E20" s="11">
        <f t="shared" si="1"/>
        <v>-14.883327481794419</v>
      </c>
      <c r="F20" s="11"/>
      <c r="G20" s="11"/>
      <c r="H20" s="11"/>
      <c r="I20" s="11">
        <f t="shared" si="6"/>
        <v>44.903878649866407</v>
      </c>
      <c r="J20" s="11">
        <f t="shared" si="7"/>
        <v>-8.1859375497887559</v>
      </c>
      <c r="K20" s="11">
        <f t="shared" si="5"/>
        <v>31.853889719793095</v>
      </c>
      <c r="L20" s="11">
        <f t="shared" si="2"/>
        <v>16.970562237998678</v>
      </c>
      <c r="M20" s="11">
        <f t="shared" si="0"/>
        <v>4.3843620332797206</v>
      </c>
      <c r="N20" s="11">
        <f t="shared" si="3"/>
        <v>-22.870067489419917</v>
      </c>
    </row>
    <row r="21" spans="1:16" x14ac:dyDescent="0.3">
      <c r="A21">
        <v>12</v>
      </c>
      <c r="B21" s="11"/>
      <c r="C21" s="11"/>
      <c r="D21" s="11"/>
      <c r="E21" s="11">
        <f t="shared" si="1"/>
        <v>-14.883327481794419</v>
      </c>
      <c r="F21" s="11"/>
      <c r="G21" s="11"/>
      <c r="H21" s="11"/>
      <c r="I21" s="11">
        <f t="shared" si="6"/>
        <v>44.903878649866407</v>
      </c>
      <c r="J21" s="11">
        <f t="shared" si="7"/>
        <v>-8.1859375497887559</v>
      </c>
      <c r="K21" s="11">
        <f t="shared" si="5"/>
        <v>31.853889719793095</v>
      </c>
      <c r="L21" s="11">
        <f t="shared" si="2"/>
        <v>16.970562237998678</v>
      </c>
      <c r="M21" s="11">
        <f t="shared" si="0"/>
        <v>3.8293708413218699</v>
      </c>
      <c r="N21" s="11">
        <f t="shared" si="3"/>
        <v>-19.040696648098049</v>
      </c>
    </row>
    <row r="22" spans="1:16" x14ac:dyDescent="0.3">
      <c r="A22">
        <v>13</v>
      </c>
      <c r="B22" s="11"/>
      <c r="C22" s="11"/>
      <c r="D22" s="11"/>
      <c r="E22" s="11">
        <f t="shared" si="1"/>
        <v>-14.883327481794419</v>
      </c>
      <c r="F22" s="11"/>
      <c r="G22" s="11"/>
      <c r="H22" s="11"/>
      <c r="I22" s="11">
        <f t="shared" si="6"/>
        <v>44.903878649866407</v>
      </c>
      <c r="J22" s="11">
        <f t="shared" si="7"/>
        <v>-8.1859375497887559</v>
      </c>
      <c r="K22" s="11">
        <f t="shared" si="5"/>
        <v>31.853889719793095</v>
      </c>
      <c r="L22" s="11">
        <f t="shared" si="2"/>
        <v>16.970562237998678</v>
      </c>
      <c r="M22" s="11">
        <f t="shared" si="0"/>
        <v>3.3446327947048444</v>
      </c>
      <c r="N22" s="11">
        <f t="shared" si="3"/>
        <v>-15.696063853393204</v>
      </c>
    </row>
    <row r="23" spans="1:16" ht="15" thickBot="1" x14ac:dyDescent="0.35">
      <c r="A23">
        <v>14</v>
      </c>
      <c r="B23" s="11"/>
      <c r="C23" s="11"/>
      <c r="D23" s="11"/>
      <c r="E23" s="11">
        <f t="shared" si="1"/>
        <v>-14.883327481794419</v>
      </c>
      <c r="F23" s="11"/>
      <c r="G23" s="11"/>
      <c r="H23" s="11"/>
      <c r="I23" s="11">
        <f t="shared" si="6"/>
        <v>44.903878649866407</v>
      </c>
      <c r="J23" s="11">
        <f t="shared" si="7"/>
        <v>-8.1859375497887559</v>
      </c>
      <c r="K23" s="11">
        <f t="shared" si="5"/>
        <v>31.853889719793095</v>
      </c>
      <c r="L23" s="11">
        <f t="shared" si="2"/>
        <v>16.970562237998678</v>
      </c>
      <c r="M23" s="11">
        <f t="shared" si="0"/>
        <v>2.9212549515192996</v>
      </c>
      <c r="N23" s="11">
        <f t="shared" si="3"/>
        <v>-12.774808901873904</v>
      </c>
    </row>
    <row r="24" spans="1:16" ht="15" thickBot="1" x14ac:dyDescent="0.35">
      <c r="A24">
        <v>15</v>
      </c>
      <c r="B24" s="11"/>
      <c r="C24" s="11">
        <f>-WC</f>
        <v>18.691915810108185</v>
      </c>
      <c r="D24" s="11"/>
      <c r="E24" s="11">
        <f t="shared" si="1"/>
        <v>-14.883327481794419</v>
      </c>
      <c r="F24" s="11"/>
      <c r="G24" s="11"/>
      <c r="H24" s="11"/>
      <c r="I24" s="11">
        <f t="shared" si="6"/>
        <v>44.903878649866407</v>
      </c>
      <c r="J24" s="11">
        <f t="shared" si="7"/>
        <v>-8.1859375497887559</v>
      </c>
      <c r="K24" s="11">
        <f t="shared" si="5"/>
        <v>31.853889719793095</v>
      </c>
      <c r="L24" s="11">
        <f>C24+K24+G24+E24</f>
        <v>35.662478048106863</v>
      </c>
      <c r="M24" s="11">
        <f t="shared" si="0"/>
        <v>5.3617401892188434</v>
      </c>
      <c r="N24" s="13">
        <f>N23+M24</f>
        <v>-7.4130687126550603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9"/>
  <sheetViews>
    <sheetView workbookViewId="0">
      <selection sqref="A1:B19"/>
    </sheetView>
  </sheetViews>
  <sheetFormatPr defaultRowHeight="14.4" x14ac:dyDescent="0.3"/>
  <sheetData>
    <row r="1" spans="1:2" x14ac:dyDescent="0.3">
      <c r="A1">
        <v>-59.5</v>
      </c>
      <c r="B1">
        <v>9</v>
      </c>
    </row>
    <row r="2" spans="1:2" x14ac:dyDescent="0.3">
      <c r="A2">
        <v>-52.5</v>
      </c>
      <c r="B2">
        <v>22</v>
      </c>
    </row>
    <row r="3" spans="1:2" x14ac:dyDescent="0.3">
      <c r="A3">
        <v>-45.5</v>
      </c>
      <c r="B3">
        <v>41</v>
      </c>
    </row>
    <row r="4" spans="1:2" x14ac:dyDescent="0.3">
      <c r="A4">
        <v>-38.5</v>
      </c>
      <c r="B4">
        <v>48</v>
      </c>
    </row>
    <row r="5" spans="1:2" x14ac:dyDescent="0.3">
      <c r="A5">
        <v>-31.5</v>
      </c>
      <c r="B5">
        <v>70</v>
      </c>
    </row>
    <row r="6" spans="1:2" x14ac:dyDescent="0.3">
      <c r="A6">
        <v>-24.5</v>
      </c>
      <c r="B6">
        <v>98</v>
      </c>
    </row>
    <row r="7" spans="1:2" x14ac:dyDescent="0.3">
      <c r="A7">
        <v>-17.5</v>
      </c>
      <c r="B7">
        <v>97</v>
      </c>
    </row>
    <row r="8" spans="1:2" x14ac:dyDescent="0.3">
      <c r="A8">
        <v>-10.5</v>
      </c>
      <c r="B8">
        <v>118</v>
      </c>
    </row>
    <row r="9" spans="1:2" x14ac:dyDescent="0.3">
      <c r="A9">
        <v>-3.5</v>
      </c>
      <c r="B9">
        <v>116</v>
      </c>
    </row>
    <row r="10" spans="1:2" x14ac:dyDescent="0.3">
      <c r="A10">
        <v>3.5</v>
      </c>
      <c r="B10">
        <v>90</v>
      </c>
    </row>
    <row r="11" spans="1:2" x14ac:dyDescent="0.3">
      <c r="A11">
        <v>10.5</v>
      </c>
      <c r="B11">
        <v>107</v>
      </c>
    </row>
    <row r="12" spans="1:2" x14ac:dyDescent="0.3">
      <c r="A12">
        <v>17.5</v>
      </c>
      <c r="B12">
        <v>59</v>
      </c>
    </row>
    <row r="13" spans="1:2" x14ac:dyDescent="0.3">
      <c r="A13">
        <v>24.5</v>
      </c>
      <c r="B13">
        <v>46</v>
      </c>
    </row>
    <row r="14" spans="1:2" x14ac:dyDescent="0.3">
      <c r="A14">
        <v>31.5</v>
      </c>
      <c r="B14">
        <v>32</v>
      </c>
    </row>
    <row r="15" spans="1:2" x14ac:dyDescent="0.3">
      <c r="A15">
        <v>38.5</v>
      </c>
      <c r="B15">
        <v>24</v>
      </c>
    </row>
    <row r="16" spans="1:2" x14ac:dyDescent="0.3">
      <c r="A16">
        <v>45.5</v>
      </c>
      <c r="B16">
        <v>10</v>
      </c>
    </row>
    <row r="17" spans="1:2" x14ac:dyDescent="0.3">
      <c r="A17">
        <v>52.5</v>
      </c>
      <c r="B17">
        <v>7</v>
      </c>
    </row>
    <row r="18" spans="1:2" x14ac:dyDescent="0.3">
      <c r="A18">
        <v>59.5</v>
      </c>
      <c r="B18">
        <v>3</v>
      </c>
    </row>
    <row r="19" spans="1:2" x14ac:dyDescent="0.3">
      <c r="A19">
        <v>66.5</v>
      </c>
      <c r="B1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poeyk</cp:lastModifiedBy>
  <dcterms:created xsi:type="dcterms:W3CDTF">2013-10-29T18:00:12Z</dcterms:created>
  <dcterms:modified xsi:type="dcterms:W3CDTF">2021-07-25T13:50:43Z</dcterms:modified>
</cp:coreProperties>
</file>